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dwin\Escritorio\Intrumentacion-electronica\practica2\"/>
    </mc:Choice>
  </mc:AlternateContent>
  <xr:revisionPtr revIDLastSave="0" documentId="13_ncr:1_{9FE3DE9A-6E5F-4E6E-B890-DE6AFDA7DCFD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Metrología" sheetId="1" r:id="rId1"/>
    <sheet name="Regresió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L16" i="1"/>
  <c r="L15" i="1"/>
  <c r="L14" i="1"/>
  <c r="L13" i="1"/>
  <c r="L12" i="1"/>
  <c r="L11" i="1"/>
  <c r="L10" i="1"/>
  <c r="L9" i="1"/>
  <c r="L8" i="1"/>
  <c r="F39" i="1"/>
  <c r="F38" i="1"/>
  <c r="F36" i="1"/>
  <c r="P31" i="1"/>
  <c r="N31" i="1"/>
  <c r="J31" i="1"/>
  <c r="D31" i="1"/>
  <c r="F31" i="1" s="1"/>
  <c r="C31" i="1"/>
  <c r="E31" i="1" s="1"/>
  <c r="P30" i="1"/>
  <c r="N30" i="1"/>
  <c r="D30" i="1"/>
  <c r="F30" i="1" s="1"/>
  <c r="C30" i="1"/>
  <c r="E30" i="1" s="1"/>
  <c r="P29" i="1"/>
  <c r="N29" i="1"/>
  <c r="D29" i="1"/>
  <c r="F29" i="1" s="1"/>
  <c r="C29" i="1"/>
  <c r="E29" i="1" s="1"/>
  <c r="P28" i="1"/>
  <c r="N28" i="1"/>
  <c r="D28" i="1"/>
  <c r="F28" i="1" s="1"/>
  <c r="C28" i="1"/>
  <c r="E28" i="1" s="1"/>
  <c r="P27" i="1"/>
  <c r="N27" i="1"/>
  <c r="D27" i="1"/>
  <c r="F27" i="1" s="1"/>
  <c r="C27" i="1"/>
  <c r="E27" i="1" s="1"/>
  <c r="P26" i="1"/>
  <c r="N26" i="1"/>
  <c r="D26" i="1"/>
  <c r="F26" i="1" s="1"/>
  <c r="C26" i="1"/>
  <c r="E26" i="1" s="1"/>
  <c r="P25" i="1"/>
  <c r="N25" i="1"/>
  <c r="D25" i="1"/>
  <c r="F25" i="1" s="1"/>
  <c r="C25" i="1"/>
  <c r="E25" i="1" s="1"/>
  <c r="P24" i="1"/>
  <c r="N24" i="1"/>
  <c r="D24" i="1"/>
  <c r="F24" i="1" s="1"/>
  <c r="C24" i="1"/>
  <c r="E24" i="1" s="1"/>
  <c r="N23" i="1"/>
  <c r="D23" i="1"/>
  <c r="F23" i="1" s="1"/>
  <c r="C23" i="1"/>
  <c r="E23" i="1" s="1"/>
  <c r="J29" i="1" l="1"/>
  <c r="J30" i="1"/>
  <c r="J23" i="1"/>
  <c r="D35" i="1" s="1"/>
  <c r="F35" i="1" s="1"/>
  <c r="J28" i="1"/>
  <c r="J25" i="1"/>
  <c r="J27" i="1"/>
  <c r="J24" i="1"/>
  <c r="J26" i="1"/>
  <c r="G31" i="1"/>
  <c r="G30" i="1"/>
  <c r="G29" i="1"/>
  <c r="G28" i="1"/>
  <c r="G27" i="1"/>
  <c r="G26" i="1"/>
  <c r="G25" i="1"/>
  <c r="G24" i="1"/>
  <c r="G23" i="1"/>
  <c r="D37" i="1" s="1"/>
  <c r="F37" i="1" s="1"/>
  <c r="H35" i="1" l="1"/>
  <c r="I35" i="1" s="1"/>
  <c r="J35" i="1" s="1"/>
  <c r="K35" i="1" s="1"/>
  <c r="P23" i="1" s="1"/>
</calcChain>
</file>

<file path=xl/sharedStrings.xml><?xml version="1.0" encoding="utf-8"?>
<sst xmlns="http://schemas.openxmlformats.org/spreadsheetml/2006/main" count="57" uniqueCount="42">
  <si>
    <t xml:space="preserve">Condiciones ambientales </t>
  </si>
  <si>
    <t>Temperatura (°C)</t>
  </si>
  <si>
    <t>Humedad relativa (%hr)</t>
  </si>
  <si>
    <t>Datos Medidas de Temperatura</t>
  </si>
  <si>
    <t xml:space="preserve">Min </t>
  </si>
  <si>
    <t>Max</t>
  </si>
  <si>
    <t>Prueba de Linealidad     (Subida)</t>
  </si>
  <si>
    <t>Prueba de Linealidad     (Bajada)</t>
  </si>
  <si>
    <t>Patrón (°C)</t>
  </si>
  <si>
    <t>Calculo Histeresis (°C)</t>
  </si>
  <si>
    <t>Calculo desviación estándar</t>
  </si>
  <si>
    <t>Resultados de la medición en °C</t>
  </si>
  <si>
    <t xml:space="preserve">Promedio subida </t>
  </si>
  <si>
    <t>Bajada</t>
  </si>
  <si>
    <t>Error subida</t>
  </si>
  <si>
    <t>Error bajada</t>
  </si>
  <si>
    <t xml:space="preserve">Histeresis </t>
  </si>
  <si>
    <t>Desviación (°C)</t>
  </si>
  <si>
    <t>Incertidumbre</t>
  </si>
  <si>
    <t>Incertidumbre - IBC - 0 °C</t>
  </si>
  <si>
    <t>Grados de libertad</t>
  </si>
  <si>
    <t>Fuente de incetidumbre</t>
  </si>
  <si>
    <t xml:space="preserve">Distribucion de probabilidad </t>
  </si>
  <si>
    <t xml:space="preserve">Coeficientes de sensibilidad </t>
  </si>
  <si>
    <t>V_eff</t>
  </si>
  <si>
    <t xml:space="preserve">Factor de cobertura </t>
  </si>
  <si>
    <t>Repetibilidad</t>
  </si>
  <si>
    <t>Normal</t>
  </si>
  <si>
    <t>Patrón</t>
  </si>
  <si>
    <t>Histeresis</t>
  </si>
  <si>
    <t>Uniforme</t>
  </si>
  <si>
    <t>Resolucion</t>
  </si>
  <si>
    <t>Resolucion patrón</t>
  </si>
  <si>
    <t>Prueba de Linealidad (subida)</t>
  </si>
  <si>
    <t>Voltaje (mV)</t>
  </si>
  <si>
    <t>Termistor</t>
  </si>
  <si>
    <t>Incertidumbre tipica (°C)</t>
  </si>
  <si>
    <t>Incertidumbre estandarizada (°C)</t>
  </si>
  <si>
    <t>Incertidumbre Combinada (°C)</t>
  </si>
  <si>
    <t>U (°C)</t>
  </si>
  <si>
    <t>Termistor (°C)</t>
  </si>
  <si>
    <t>Sensibilidad teórica del termistor linealizado [mV]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</si>
</sst>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.m"/>
    <numFmt numFmtId="165" formatCode="0.000"/>
    <numFmt numFmtId="169" formatCode="0.00000"/>
  </numFmts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  <fill>
      <patternFill patternType="solid">
        <fgColor rgb="FF6FA8DC"/>
        <bgColor rgb="FF6FA8DC"/>
      </patternFill>
    </fill>
    <fill>
      <patternFill patternType="solid">
        <fgColor rgb="FFC27BA0"/>
        <bgColor rgb="FFC27BA0"/>
      </patternFill>
    </fill>
    <fill>
      <patternFill patternType="solid">
        <fgColor rgb="FFE06666"/>
        <bgColor rgb="FFE06666"/>
      </patternFill>
    </fill>
    <fill>
      <patternFill patternType="solid">
        <fgColor rgb="FFD5A6BD"/>
        <bgColor rgb="FFD5A6BD"/>
      </patternFill>
    </fill>
    <fill>
      <patternFill patternType="solid">
        <fgColor rgb="FFEA9999"/>
        <bgColor rgb="FFEA9999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164" fontId="1" fillId="0" borderId="0" xfId="0" applyNumberFormat="1" applyFont="1" applyAlignment="1">
      <alignment horizontal="center" vertical="center" wrapText="1"/>
    </xf>
    <xf numFmtId="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2" fontId="1" fillId="0" borderId="2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4" fillId="4" borderId="0" xfId="0" applyFont="1" applyFill="1" applyAlignment="1">
      <alignment horizontal="center"/>
    </xf>
    <xf numFmtId="0" fontId="3" fillId="0" borderId="0" xfId="0" applyFont="1"/>
    <xf numFmtId="0" fontId="4" fillId="4" borderId="0" xfId="0" applyFont="1" applyFill="1" applyAlignment="1">
      <alignment horizontal="center" vertical="center" wrapText="1"/>
    </xf>
    <xf numFmtId="0" fontId="6" fillId="0" borderId="0" xfId="0" applyFont="1"/>
    <xf numFmtId="0" fontId="1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8" xfId="0" applyBorder="1"/>
    <xf numFmtId="0" fontId="6" fillId="0" borderId="8" xfId="0" applyFont="1" applyBorder="1"/>
    <xf numFmtId="0" fontId="2" fillId="3" borderId="2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2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3" fillId="0" borderId="6" xfId="0" applyFont="1" applyBorder="1"/>
    <xf numFmtId="0" fontId="5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10" borderId="8" xfId="0" applyFont="1" applyFill="1" applyBorder="1" applyAlignment="1">
      <alignment horizontal="center" vertical="center" wrapText="1"/>
    </xf>
    <xf numFmtId="169" fontId="1" fillId="0" borderId="8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Temperatura</a:t>
            </a:r>
            <a:r>
              <a:rPr lang="en-US" baseline="0"/>
              <a:t> (°C) vs Voltaje (mV)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Temperatura (°C) vs Voltaje (mV)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2463013998250219"/>
                  <c:y val="-2.361111111111113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Regresión!$A$3:$A$13</c:f>
              <c:numCache>
                <c:formatCode>General</c:formatCode>
                <c:ptCount val="11"/>
                <c:pt idx="0">
                  <c:v>1516</c:v>
                </c:pt>
                <c:pt idx="1">
                  <c:v>1586</c:v>
                </c:pt>
                <c:pt idx="2">
                  <c:v>1690</c:v>
                </c:pt>
                <c:pt idx="3">
                  <c:v>1758</c:v>
                </c:pt>
                <c:pt idx="4">
                  <c:v>1831</c:v>
                </c:pt>
                <c:pt idx="5">
                  <c:v>1978</c:v>
                </c:pt>
                <c:pt idx="6">
                  <c:v>2055</c:v>
                </c:pt>
                <c:pt idx="7">
                  <c:v>2117</c:v>
                </c:pt>
                <c:pt idx="8">
                  <c:v>2241</c:v>
                </c:pt>
              </c:numCache>
            </c:numRef>
          </c:xVal>
          <c:yVal>
            <c:numRef>
              <c:f>Regresión!$B$3:$B$13</c:f>
              <c:numCache>
                <c:formatCode>General</c:formatCode>
                <c:ptCount val="11"/>
                <c:pt idx="0">
                  <c:v>30</c:v>
                </c:pt>
                <c:pt idx="1">
                  <c:v>33.1</c:v>
                </c:pt>
                <c:pt idx="2">
                  <c:v>37.299999999999997</c:v>
                </c:pt>
                <c:pt idx="3">
                  <c:v>40.1</c:v>
                </c:pt>
                <c:pt idx="4">
                  <c:v>43.1</c:v>
                </c:pt>
                <c:pt idx="5">
                  <c:v>47.4</c:v>
                </c:pt>
                <c:pt idx="6">
                  <c:v>50.2</c:v>
                </c:pt>
                <c:pt idx="7">
                  <c:v>53.3</c:v>
                </c:pt>
                <c:pt idx="8">
                  <c:v>56.6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F15-4015-821D-71B93CCB9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1191727"/>
        <c:axId val="1221192207"/>
      </c:scatterChart>
      <c:valAx>
        <c:axId val="1221191727"/>
        <c:scaling>
          <c:orientation val="minMax"/>
          <c:max val="2150"/>
          <c:min val="1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aseline="0"/>
                  <a:t>Voltaje (mV)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21192207"/>
        <c:crosses val="autoZero"/>
        <c:crossBetween val="midCat"/>
      </c:valAx>
      <c:valAx>
        <c:axId val="1221192207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Temperatura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21191727"/>
        <c:crossesAt val="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Regresión!$M$2</c:f>
              <c:strCache>
                <c:ptCount val="1"/>
                <c:pt idx="0">
                  <c:v>Voltaje (mV)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9.2147856517935263E-4"/>
                  <c:y val="-8.450823855351415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Regresión!$L$3:$L$11</c:f>
              <c:numCache>
                <c:formatCode>General</c:formatCode>
                <c:ptCount val="9"/>
                <c:pt idx="0">
                  <c:v>30</c:v>
                </c:pt>
                <c:pt idx="1">
                  <c:v>33.1</c:v>
                </c:pt>
                <c:pt idx="2">
                  <c:v>37.299999999999997</c:v>
                </c:pt>
                <c:pt idx="3">
                  <c:v>40.1</c:v>
                </c:pt>
                <c:pt idx="4">
                  <c:v>43.1</c:v>
                </c:pt>
                <c:pt idx="5">
                  <c:v>47.4</c:v>
                </c:pt>
                <c:pt idx="6">
                  <c:v>50.2</c:v>
                </c:pt>
                <c:pt idx="7">
                  <c:v>53.3</c:v>
                </c:pt>
                <c:pt idx="8">
                  <c:v>56.6</c:v>
                </c:pt>
              </c:numCache>
            </c:numRef>
          </c:xVal>
          <c:yVal>
            <c:numRef>
              <c:f>Regresión!$M$3:$M$11</c:f>
              <c:numCache>
                <c:formatCode>General</c:formatCode>
                <c:ptCount val="9"/>
                <c:pt idx="0">
                  <c:v>1516</c:v>
                </c:pt>
                <c:pt idx="1">
                  <c:v>1586</c:v>
                </c:pt>
                <c:pt idx="2">
                  <c:v>1690</c:v>
                </c:pt>
                <c:pt idx="3">
                  <c:v>1758</c:v>
                </c:pt>
                <c:pt idx="4">
                  <c:v>1831</c:v>
                </c:pt>
                <c:pt idx="5">
                  <c:v>1978</c:v>
                </c:pt>
                <c:pt idx="6">
                  <c:v>2055</c:v>
                </c:pt>
                <c:pt idx="7">
                  <c:v>2117</c:v>
                </c:pt>
                <c:pt idx="8">
                  <c:v>2241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01-454B-8E81-EC7E5B3CF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3788400"/>
        <c:axId val="1363821520"/>
      </c:scatterChart>
      <c:valAx>
        <c:axId val="1363788400"/>
        <c:scaling>
          <c:orientation val="minMax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63821520"/>
        <c:crosses val="autoZero"/>
        <c:crossBetween val="midCat"/>
      </c:valAx>
      <c:valAx>
        <c:axId val="1363821520"/>
        <c:scaling>
          <c:orientation val="minMax"/>
          <c:min val="1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63788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752475</xdr:colOff>
      <xdr:row>1</xdr:row>
      <xdr:rowOff>152400</xdr:rowOff>
    </xdr:from>
    <xdr:to>
      <xdr:col>9</xdr:col>
      <xdr:colOff>752475</xdr:colOff>
      <xdr:row>18</xdr:row>
      <xdr:rowOff>142875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1E75921-E64F-9A49-1EAA-D842246472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285750</xdr:colOff>
      <xdr:row>2</xdr:row>
      <xdr:rowOff>9525</xdr:rowOff>
    </xdr:from>
    <xdr:to>
      <xdr:col>16</xdr:col>
      <xdr:colOff>285750</xdr:colOff>
      <xdr:row>19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1E5EDE0-A1F7-0469-2399-E68EAE9669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37"/>
  <sheetViews>
    <sheetView workbookViewId="0">
      <selection activeCell="A3" sqref="A3"/>
    </sheetView>
  </sheetViews>
  <sheetFormatPr baseColWidth="10" defaultColWidth="12.5703125" defaultRowHeight="15.75" customHeight="1" x14ac:dyDescent="0.2"/>
  <cols>
    <col min="3" max="3" width="24.140625" bestFit="1" customWidth="1"/>
    <col min="4" max="4" width="24.42578125" bestFit="1" customWidth="1"/>
    <col min="5" max="5" width="27.140625" bestFit="1" customWidth="1"/>
    <col min="9" max="9" width="11.5703125" bestFit="1" customWidth="1"/>
    <col min="10" max="10" width="14.7109375" customWidth="1"/>
    <col min="16" max="16" width="10.7109375" bestFit="1" customWidth="1"/>
    <col min="17" max="17" width="14.140625" customWidth="1"/>
  </cols>
  <sheetData>
    <row r="1" spans="1:18" ht="12.75" x14ac:dyDescent="0.2">
      <c r="A1" s="1"/>
      <c r="B1" s="2"/>
      <c r="C1" s="3"/>
      <c r="D1" s="3"/>
      <c r="E1" s="3"/>
    </row>
    <row r="2" spans="1:18" ht="63.75" x14ac:dyDescent="0.2">
      <c r="A2" s="44" t="s">
        <v>41</v>
      </c>
      <c r="C2" s="4" t="s">
        <v>0</v>
      </c>
      <c r="D2" s="4" t="s">
        <v>1</v>
      </c>
      <c r="E2" s="4" t="s">
        <v>2</v>
      </c>
      <c r="I2" s="30" t="s">
        <v>3</v>
      </c>
      <c r="J2" s="31"/>
      <c r="K2" s="31"/>
      <c r="L2" s="31"/>
      <c r="M2" s="31"/>
      <c r="N2" s="31"/>
      <c r="O2" s="31"/>
      <c r="P2" s="32"/>
      <c r="R2" s="5"/>
    </row>
    <row r="3" spans="1:18" ht="12.75" x14ac:dyDescent="0.2">
      <c r="A3" s="45">
        <f>(1.4868/3997)*(((3997/(2*298.15))^2)-1)*1000</f>
        <v>16.341123720295442</v>
      </c>
      <c r="C3" s="6" t="s">
        <v>4</v>
      </c>
      <c r="D3" s="7">
        <v>26.1</v>
      </c>
      <c r="E3" s="7">
        <v>51</v>
      </c>
    </row>
    <row r="4" spans="1:18" ht="12.75" x14ac:dyDescent="0.2">
      <c r="A4" s="3"/>
      <c r="C4" s="6" t="s">
        <v>5</v>
      </c>
      <c r="D4" s="7">
        <v>26.9</v>
      </c>
      <c r="E4" s="7">
        <v>55</v>
      </c>
    </row>
    <row r="5" spans="1:18" ht="12.75" x14ac:dyDescent="0.2">
      <c r="A5" s="3"/>
      <c r="D5" s="3"/>
    </row>
    <row r="6" spans="1:18" ht="29.25" customHeight="1" x14ac:dyDescent="0.2">
      <c r="A6" s="3"/>
      <c r="B6" s="8"/>
      <c r="C6" s="8"/>
      <c r="D6" s="8"/>
      <c r="E6" s="8"/>
      <c r="F6" s="8"/>
      <c r="G6" s="8"/>
      <c r="I6" s="33" t="s">
        <v>33</v>
      </c>
      <c r="J6" s="32"/>
      <c r="L6" s="33" t="s">
        <v>7</v>
      </c>
      <c r="M6" s="32"/>
      <c r="O6" s="33" t="s">
        <v>6</v>
      </c>
      <c r="P6" s="32"/>
    </row>
    <row r="7" spans="1:18" ht="25.5" x14ac:dyDescent="0.2">
      <c r="B7" s="8"/>
      <c r="C7" s="8"/>
      <c r="D7" s="8"/>
      <c r="E7" s="8"/>
      <c r="F7" s="8"/>
      <c r="G7" s="8"/>
      <c r="I7" s="9" t="s">
        <v>40</v>
      </c>
      <c r="J7" s="9" t="s">
        <v>8</v>
      </c>
      <c r="L7" s="9" t="s">
        <v>40</v>
      </c>
      <c r="M7" s="27" t="s">
        <v>8</v>
      </c>
      <c r="O7" s="9" t="s">
        <v>40</v>
      </c>
      <c r="P7" s="9" t="s">
        <v>8</v>
      </c>
    </row>
    <row r="8" spans="1:18" ht="12.75" x14ac:dyDescent="0.2">
      <c r="B8" s="8"/>
      <c r="C8" s="8"/>
      <c r="D8" s="8"/>
      <c r="E8" s="8"/>
      <c r="F8" s="8"/>
      <c r="G8" s="8"/>
      <c r="I8" s="10">
        <v>29.3</v>
      </c>
      <c r="J8" s="28">
        <v>30.2</v>
      </c>
      <c r="L8" s="26">
        <f>54.3</f>
        <v>54.3</v>
      </c>
      <c r="M8" s="29">
        <v>56.3</v>
      </c>
      <c r="O8" s="10">
        <v>29.4</v>
      </c>
      <c r="P8" s="28">
        <v>30</v>
      </c>
    </row>
    <row r="9" spans="1:18" ht="12.75" x14ac:dyDescent="0.2">
      <c r="B9" s="8"/>
      <c r="C9" s="8"/>
      <c r="D9" s="8"/>
      <c r="E9" s="8"/>
      <c r="F9" s="8"/>
      <c r="G9" s="8"/>
      <c r="I9" s="10">
        <v>30.9</v>
      </c>
      <c r="J9" s="28">
        <v>33.1</v>
      </c>
      <c r="L9" s="26">
        <f>53.3</f>
        <v>53.3</v>
      </c>
      <c r="M9" s="28">
        <v>53.4</v>
      </c>
      <c r="O9" s="10">
        <v>32.700000000000003</v>
      </c>
      <c r="P9" s="28">
        <v>33.1</v>
      </c>
    </row>
    <row r="10" spans="1:18" ht="12.75" x14ac:dyDescent="0.2">
      <c r="B10" s="8"/>
      <c r="C10" s="8"/>
      <c r="D10" s="8"/>
      <c r="E10" s="8"/>
      <c r="F10" s="8"/>
      <c r="G10" s="8"/>
      <c r="I10" s="10">
        <v>34.299999999999997</v>
      </c>
      <c r="J10" s="28">
        <v>37.5</v>
      </c>
      <c r="L10" s="26">
        <f>50.8</f>
        <v>50.8</v>
      </c>
      <c r="M10" s="28">
        <v>50.1</v>
      </c>
      <c r="O10" s="10">
        <v>36.5</v>
      </c>
      <c r="P10" s="28">
        <v>36.700000000000003</v>
      </c>
    </row>
    <row r="11" spans="1:18" ht="12.75" x14ac:dyDescent="0.2">
      <c r="B11" s="8"/>
      <c r="C11" s="8"/>
      <c r="D11" s="8"/>
      <c r="E11" s="8"/>
      <c r="F11" s="8"/>
      <c r="G11" s="8"/>
      <c r="I11" s="10">
        <v>37.380000000000003</v>
      </c>
      <c r="J11" s="28">
        <v>40.1</v>
      </c>
      <c r="L11" s="26">
        <f>48.9</f>
        <v>48.9</v>
      </c>
      <c r="M11" s="28">
        <v>47</v>
      </c>
      <c r="O11" s="10">
        <v>39.200000000000003</v>
      </c>
      <c r="P11" s="28">
        <v>39.5</v>
      </c>
    </row>
    <row r="12" spans="1:18" ht="12.75" x14ac:dyDescent="0.2">
      <c r="B12" s="8"/>
      <c r="C12" s="8"/>
      <c r="D12" s="8"/>
      <c r="E12" s="8"/>
      <c r="F12" s="8"/>
      <c r="G12" s="8"/>
      <c r="I12" s="10">
        <v>39.799999999999997</v>
      </c>
      <c r="J12" s="28">
        <v>43.4</v>
      </c>
      <c r="L12" s="26">
        <f>46</f>
        <v>46</v>
      </c>
      <c r="M12" s="28">
        <v>43</v>
      </c>
      <c r="O12" s="10">
        <v>42.5</v>
      </c>
      <c r="P12" s="28">
        <v>42.6</v>
      </c>
    </row>
    <row r="13" spans="1:18" ht="12.75" x14ac:dyDescent="0.2">
      <c r="B13" s="8"/>
      <c r="C13" s="8"/>
      <c r="D13" s="8"/>
      <c r="E13" s="8"/>
      <c r="F13" s="8"/>
      <c r="G13" s="8"/>
      <c r="I13" s="10">
        <v>43.9</v>
      </c>
      <c r="J13" s="28">
        <v>47.3</v>
      </c>
      <c r="L13" s="26">
        <f>43</f>
        <v>43</v>
      </c>
      <c r="M13" s="28">
        <v>40.1</v>
      </c>
      <c r="O13" s="10">
        <v>46.2</v>
      </c>
      <c r="P13" s="28">
        <v>46.3</v>
      </c>
    </row>
    <row r="14" spans="1:18" ht="12.75" x14ac:dyDescent="0.2">
      <c r="B14" s="8"/>
      <c r="C14" s="8"/>
      <c r="D14" s="8"/>
      <c r="E14" s="8"/>
      <c r="F14" s="8"/>
      <c r="G14" s="8"/>
      <c r="I14" s="10">
        <v>47.6</v>
      </c>
      <c r="J14" s="28">
        <v>49.9</v>
      </c>
      <c r="L14" s="26">
        <f>40.4</f>
        <v>40.4</v>
      </c>
      <c r="M14" s="28">
        <v>37</v>
      </c>
      <c r="O14" s="10">
        <v>49</v>
      </c>
      <c r="P14" s="28">
        <v>49.1</v>
      </c>
    </row>
    <row r="15" spans="1:18" ht="12.75" x14ac:dyDescent="0.2">
      <c r="B15" s="8"/>
      <c r="C15" s="8"/>
      <c r="D15" s="8"/>
      <c r="E15" s="8"/>
      <c r="F15" s="8"/>
      <c r="G15" s="8"/>
      <c r="I15" s="10">
        <v>49.6</v>
      </c>
      <c r="J15" s="28">
        <v>52</v>
      </c>
      <c r="L15" s="26">
        <f>35</f>
        <v>35</v>
      </c>
      <c r="M15" s="28">
        <v>33.1</v>
      </c>
      <c r="O15" s="10">
        <v>51.7</v>
      </c>
      <c r="P15" s="28">
        <v>51.8</v>
      </c>
    </row>
    <row r="16" spans="1:18" ht="12.75" x14ac:dyDescent="0.2">
      <c r="B16" s="8"/>
      <c r="C16" s="8"/>
      <c r="D16" s="8"/>
      <c r="E16" s="8"/>
      <c r="F16" s="8"/>
      <c r="G16" s="8"/>
      <c r="I16" s="7">
        <v>52.4</v>
      </c>
      <c r="J16" s="29">
        <v>56.3</v>
      </c>
      <c r="L16" s="26">
        <f>32.2</f>
        <v>32.200000000000003</v>
      </c>
      <c r="M16" s="28">
        <v>30.4</v>
      </c>
      <c r="O16" s="7">
        <v>56.6</v>
      </c>
      <c r="P16" s="29">
        <v>56.9</v>
      </c>
    </row>
    <row r="17" spans="1:18" ht="12.75" x14ac:dyDescent="0.2">
      <c r="B17" s="8"/>
      <c r="C17" s="8"/>
      <c r="D17" s="8"/>
      <c r="E17" s="8"/>
      <c r="F17" s="8"/>
      <c r="G17" s="8"/>
    </row>
    <row r="18" spans="1:18" ht="12.75" x14ac:dyDescent="0.2">
      <c r="B18" s="8"/>
      <c r="C18" s="8"/>
      <c r="D18" s="8"/>
      <c r="E18" s="8"/>
      <c r="F18" s="8"/>
      <c r="G18" s="8"/>
    </row>
    <row r="19" spans="1:18" ht="12.75" x14ac:dyDescent="0.2">
      <c r="A19" s="3"/>
    </row>
    <row r="20" spans="1:18" ht="12.75" x14ac:dyDescent="0.2">
      <c r="A20" s="3"/>
    </row>
    <row r="21" spans="1:18" ht="15.75" customHeight="1" x14ac:dyDescent="0.2">
      <c r="A21" s="3"/>
      <c r="B21" s="34" t="s">
        <v>9</v>
      </c>
      <c r="C21" s="31"/>
      <c r="D21" s="31"/>
      <c r="E21" s="31"/>
      <c r="F21" s="31"/>
      <c r="G21" s="32"/>
      <c r="I21" s="38" t="s">
        <v>10</v>
      </c>
      <c r="J21" s="32"/>
      <c r="M21" s="35" t="s">
        <v>11</v>
      </c>
      <c r="N21" s="36"/>
      <c r="O21" s="36"/>
      <c r="P21" s="36"/>
      <c r="Q21" s="23"/>
      <c r="R21" s="24"/>
    </row>
    <row r="22" spans="1:18" ht="25.5" x14ac:dyDescent="0.2">
      <c r="A22" s="3"/>
      <c r="B22" s="11" t="s">
        <v>40</v>
      </c>
      <c r="C22" s="11" t="s">
        <v>12</v>
      </c>
      <c r="D22" s="11" t="s">
        <v>13</v>
      </c>
      <c r="E22" s="11" t="s">
        <v>14</v>
      </c>
      <c r="F22" s="11" t="s">
        <v>15</v>
      </c>
      <c r="G22" s="11" t="s">
        <v>16</v>
      </c>
      <c r="I22" s="11" t="s">
        <v>40</v>
      </c>
      <c r="J22" s="11" t="s">
        <v>17</v>
      </c>
      <c r="M22" s="12" t="s">
        <v>40</v>
      </c>
      <c r="N22" s="12" t="s">
        <v>12</v>
      </c>
      <c r="O22" s="12" t="s">
        <v>13</v>
      </c>
      <c r="P22" s="13" t="s">
        <v>18</v>
      </c>
      <c r="R22" s="24"/>
    </row>
    <row r="23" spans="1:18" ht="12.75" x14ac:dyDescent="0.2">
      <c r="B23" s="10">
        <v>29.3</v>
      </c>
      <c r="C23" s="7">
        <f t="shared" ref="C23:C31" si="0">(J8+P8)/2</f>
        <v>30.1</v>
      </c>
      <c r="D23" s="7">
        <f>M16</f>
        <v>30.4</v>
      </c>
      <c r="E23" s="10">
        <f t="shared" ref="E23:E31" si="1">C23-B23</f>
        <v>0.80000000000000071</v>
      </c>
      <c r="F23" s="7">
        <f t="shared" ref="F23:F31" si="2">D23-B23</f>
        <v>1.0999999999999979</v>
      </c>
      <c r="G23" s="7">
        <f t="shared" ref="G23:G31" si="3">ABS(C23-D23)</f>
        <v>0.29999999999999716</v>
      </c>
      <c r="I23" s="10">
        <v>29.3</v>
      </c>
      <c r="J23" s="14">
        <f t="shared" ref="J23:J31" si="4">STDEV(J8,D23,P8)</f>
        <v>0.19999999999999929</v>
      </c>
      <c r="M23" s="10">
        <v>29.3</v>
      </c>
      <c r="N23" s="7">
        <f t="shared" ref="N23:N31" si="5">AVERAGE(P8,J8)</f>
        <v>30.1</v>
      </c>
      <c r="O23" s="7">
        <v>0</v>
      </c>
      <c r="P23" s="15">
        <f>K35</f>
        <v>23.584775660553717</v>
      </c>
      <c r="R23" s="8"/>
    </row>
    <row r="24" spans="1:18" ht="12.75" x14ac:dyDescent="0.2">
      <c r="B24" s="10">
        <v>30.9</v>
      </c>
      <c r="C24" s="7">
        <f t="shared" si="0"/>
        <v>33.1</v>
      </c>
      <c r="D24" s="7">
        <f>M15</f>
        <v>33.1</v>
      </c>
      <c r="E24" s="10">
        <f t="shared" si="1"/>
        <v>2.2000000000000028</v>
      </c>
      <c r="F24" s="7">
        <f t="shared" si="2"/>
        <v>2.2000000000000028</v>
      </c>
      <c r="G24" s="7">
        <f t="shared" si="3"/>
        <v>0</v>
      </c>
      <c r="I24" s="10">
        <v>30.9</v>
      </c>
      <c r="J24" s="14">
        <f t="shared" si="4"/>
        <v>0</v>
      </c>
      <c r="M24" s="10">
        <v>30.9</v>
      </c>
      <c r="N24" s="7">
        <f t="shared" si="5"/>
        <v>33.1</v>
      </c>
      <c r="O24" s="10">
        <v>80</v>
      </c>
      <c r="P24" s="15">
        <f>K47</f>
        <v>0</v>
      </c>
      <c r="R24" s="8"/>
    </row>
    <row r="25" spans="1:18" ht="12.75" x14ac:dyDescent="0.2">
      <c r="B25" s="10">
        <v>34.299999999999997</v>
      </c>
      <c r="C25" s="7">
        <f t="shared" si="0"/>
        <v>37.1</v>
      </c>
      <c r="D25" s="7">
        <f>M14</f>
        <v>37</v>
      </c>
      <c r="E25" s="10">
        <f t="shared" si="1"/>
        <v>2.8000000000000043</v>
      </c>
      <c r="F25" s="7">
        <f t="shared" si="2"/>
        <v>2.7000000000000028</v>
      </c>
      <c r="G25" s="7">
        <f t="shared" si="3"/>
        <v>0.10000000000000142</v>
      </c>
      <c r="I25" s="10">
        <v>34.299999999999997</v>
      </c>
      <c r="J25" s="14">
        <f t="shared" si="4"/>
        <v>0.40414518843273672</v>
      </c>
      <c r="M25" s="10">
        <v>34.299999999999997</v>
      </c>
      <c r="N25" s="7">
        <f t="shared" si="5"/>
        <v>37.1</v>
      </c>
      <c r="O25" s="10">
        <v>155</v>
      </c>
      <c r="P25" s="15">
        <f>K59</f>
        <v>0</v>
      </c>
      <c r="R25" s="8"/>
    </row>
    <row r="26" spans="1:18" ht="12.75" x14ac:dyDescent="0.2">
      <c r="B26" s="10">
        <v>37.380000000000003</v>
      </c>
      <c r="C26" s="7">
        <f t="shared" si="0"/>
        <v>39.799999999999997</v>
      </c>
      <c r="D26" s="7">
        <f>M13</f>
        <v>40.1</v>
      </c>
      <c r="E26" s="10">
        <f t="shared" si="1"/>
        <v>2.4199999999999946</v>
      </c>
      <c r="F26" s="7">
        <f t="shared" si="2"/>
        <v>2.7199999999999989</v>
      </c>
      <c r="G26" s="7">
        <f t="shared" si="3"/>
        <v>0.30000000000000426</v>
      </c>
      <c r="I26" s="10">
        <v>37.380000000000003</v>
      </c>
      <c r="J26" s="14">
        <f t="shared" si="4"/>
        <v>0.34641016151377629</v>
      </c>
      <c r="M26" s="10">
        <v>37.380000000000003</v>
      </c>
      <c r="N26" s="7">
        <f t="shared" si="5"/>
        <v>39.799999999999997</v>
      </c>
      <c r="O26" s="10">
        <v>250</v>
      </c>
      <c r="P26" s="15">
        <f>K71</f>
        <v>0</v>
      </c>
      <c r="R26" s="8"/>
    </row>
    <row r="27" spans="1:18" ht="12.75" x14ac:dyDescent="0.2">
      <c r="B27" s="10">
        <v>39.799999999999997</v>
      </c>
      <c r="C27" s="7">
        <f t="shared" si="0"/>
        <v>43</v>
      </c>
      <c r="D27" s="10">
        <f>M12</f>
        <v>43</v>
      </c>
      <c r="E27" s="10">
        <f t="shared" si="1"/>
        <v>3.2000000000000028</v>
      </c>
      <c r="F27" s="7">
        <f t="shared" si="2"/>
        <v>3.2000000000000028</v>
      </c>
      <c r="G27" s="7">
        <f t="shared" si="3"/>
        <v>0</v>
      </c>
      <c r="I27" s="10">
        <v>39.799999999999997</v>
      </c>
      <c r="J27" s="14">
        <f t="shared" si="4"/>
        <v>0.39999999999999858</v>
      </c>
      <c r="M27" s="10">
        <v>39.799999999999997</v>
      </c>
      <c r="N27" s="7">
        <f t="shared" si="5"/>
        <v>43</v>
      </c>
      <c r="O27" s="10">
        <v>345</v>
      </c>
      <c r="P27" s="15">
        <f>K82</f>
        <v>0</v>
      </c>
      <c r="R27" s="8"/>
    </row>
    <row r="28" spans="1:18" ht="12.75" x14ac:dyDescent="0.2">
      <c r="B28" s="10">
        <v>43.9</v>
      </c>
      <c r="C28" s="7">
        <f t="shared" si="0"/>
        <v>46.8</v>
      </c>
      <c r="D28" s="10">
        <f>M11</f>
        <v>47</v>
      </c>
      <c r="E28" s="10">
        <f t="shared" si="1"/>
        <v>2.8999999999999986</v>
      </c>
      <c r="F28" s="7">
        <f t="shared" si="2"/>
        <v>3.1000000000000014</v>
      </c>
      <c r="G28" s="7">
        <f t="shared" si="3"/>
        <v>0.20000000000000284</v>
      </c>
      <c r="I28" s="10">
        <v>43.9</v>
      </c>
      <c r="J28" s="14">
        <f t="shared" si="4"/>
        <v>0.51316014394468878</v>
      </c>
      <c r="M28" s="10">
        <v>43.9</v>
      </c>
      <c r="N28" s="7">
        <f t="shared" si="5"/>
        <v>46.8</v>
      </c>
      <c r="O28" s="10">
        <v>440</v>
      </c>
      <c r="P28" s="15">
        <f>K94</f>
        <v>0</v>
      </c>
      <c r="R28" s="8"/>
    </row>
    <row r="29" spans="1:18" ht="12.75" x14ac:dyDescent="0.2">
      <c r="B29" s="10">
        <v>47.6</v>
      </c>
      <c r="C29" s="7">
        <f t="shared" si="0"/>
        <v>49.5</v>
      </c>
      <c r="D29" s="10">
        <f>M10</f>
        <v>50.1</v>
      </c>
      <c r="E29" s="10">
        <f t="shared" si="1"/>
        <v>1.8999999999999986</v>
      </c>
      <c r="F29" s="7">
        <f t="shared" si="2"/>
        <v>2.5</v>
      </c>
      <c r="G29" s="7">
        <f t="shared" si="3"/>
        <v>0.60000000000000142</v>
      </c>
      <c r="I29" s="10">
        <v>47.6</v>
      </c>
      <c r="J29" s="14">
        <f t="shared" si="4"/>
        <v>0.52915026221291761</v>
      </c>
      <c r="M29" s="10">
        <v>47.6</v>
      </c>
      <c r="N29" s="7">
        <f t="shared" si="5"/>
        <v>49.5</v>
      </c>
      <c r="O29" s="10">
        <v>540</v>
      </c>
      <c r="P29" s="15">
        <f>K106</f>
        <v>0</v>
      </c>
      <c r="R29" s="8"/>
    </row>
    <row r="30" spans="1:18" ht="12.75" x14ac:dyDescent="0.2">
      <c r="B30" s="10">
        <v>49.6</v>
      </c>
      <c r="C30" s="7">
        <f t="shared" si="0"/>
        <v>51.9</v>
      </c>
      <c r="D30" s="10">
        <f>M9</f>
        <v>53.4</v>
      </c>
      <c r="E30" s="10">
        <f t="shared" si="1"/>
        <v>2.2999999999999972</v>
      </c>
      <c r="F30" s="7">
        <f t="shared" si="2"/>
        <v>3.7999999999999972</v>
      </c>
      <c r="G30" s="7">
        <f t="shared" si="3"/>
        <v>1.5</v>
      </c>
      <c r="I30" s="10">
        <v>49.6</v>
      </c>
      <c r="J30" s="14">
        <f t="shared" si="4"/>
        <v>0.87177978870813488</v>
      </c>
      <c r="M30" s="10">
        <v>49.6</v>
      </c>
      <c r="N30" s="7">
        <f t="shared" si="5"/>
        <v>51.9</v>
      </c>
      <c r="O30" s="10">
        <v>640</v>
      </c>
      <c r="P30" s="15">
        <f>K118</f>
        <v>0</v>
      </c>
      <c r="R30" s="8"/>
    </row>
    <row r="31" spans="1:18" ht="12.75" x14ac:dyDescent="0.2">
      <c r="B31" s="7">
        <v>52.4</v>
      </c>
      <c r="C31" s="7">
        <f t="shared" si="0"/>
        <v>56.599999999999994</v>
      </c>
      <c r="D31" s="10">
        <f>M8</f>
        <v>56.3</v>
      </c>
      <c r="E31" s="10">
        <f t="shared" si="1"/>
        <v>4.1999999999999957</v>
      </c>
      <c r="F31" s="7">
        <f t="shared" si="2"/>
        <v>3.8999999999999986</v>
      </c>
      <c r="G31" s="7">
        <f t="shared" si="3"/>
        <v>0.29999999999999716</v>
      </c>
      <c r="I31" s="7">
        <v>52.4</v>
      </c>
      <c r="J31" s="14">
        <f t="shared" si="4"/>
        <v>0.34641016151377629</v>
      </c>
      <c r="M31" s="7">
        <v>52.4</v>
      </c>
      <c r="N31" s="7">
        <f t="shared" si="5"/>
        <v>56.599999999999994</v>
      </c>
      <c r="O31" s="10">
        <v>745</v>
      </c>
      <c r="P31" s="15">
        <f>K130</f>
        <v>0</v>
      </c>
      <c r="R31" s="8"/>
    </row>
    <row r="33" spans="2:12" ht="12.75" x14ac:dyDescent="0.2">
      <c r="B33" s="37" t="s">
        <v>19</v>
      </c>
      <c r="C33" s="31"/>
      <c r="D33" s="31"/>
      <c r="E33" s="31"/>
      <c r="F33" s="31"/>
      <c r="G33" s="31"/>
      <c r="H33" s="31"/>
      <c r="I33" s="31"/>
      <c r="J33" s="31"/>
      <c r="K33" s="32"/>
    </row>
    <row r="34" spans="2:12" ht="51" x14ac:dyDescent="0.2">
      <c r="B34" s="11" t="s">
        <v>20</v>
      </c>
      <c r="C34" s="11" t="s">
        <v>21</v>
      </c>
      <c r="D34" s="11" t="s">
        <v>36</v>
      </c>
      <c r="E34" s="11" t="s">
        <v>22</v>
      </c>
      <c r="F34" s="11" t="s">
        <v>37</v>
      </c>
      <c r="G34" s="11" t="s">
        <v>23</v>
      </c>
      <c r="H34" s="11" t="s">
        <v>38</v>
      </c>
      <c r="I34" s="11" t="s">
        <v>24</v>
      </c>
      <c r="J34" s="11" t="s">
        <v>25</v>
      </c>
      <c r="K34" s="11" t="s">
        <v>39</v>
      </c>
    </row>
    <row r="35" spans="2:12" ht="12.75" x14ac:dyDescent="0.2">
      <c r="B35" s="16">
        <v>2</v>
      </c>
      <c r="C35" s="16" t="s">
        <v>26</v>
      </c>
      <c r="D35" s="17">
        <f>J23</f>
        <v>0.19999999999999929</v>
      </c>
      <c r="E35" s="16" t="s">
        <v>27</v>
      </c>
      <c r="F35" s="18">
        <f>D35/SQRT(3)</f>
        <v>0.11547005383792475</v>
      </c>
      <c r="G35" s="16">
        <v>1</v>
      </c>
      <c r="H35" s="39">
        <f>SQRT(SUM((F35*G35)^2, (F38*G38)^2, (F39*G39)^2,(F37*G37)^2, (F36*G36)^2))</f>
        <v>11.903255857117415</v>
      </c>
      <c r="I35" s="41">
        <f>(H35^4) / ((F35^4)/B35 + (F38^4)/B38 + (F39^4)/B39 + (F37^4)/B37+ (F36^4)/B36)</f>
        <v>112.48436448009568</v>
      </c>
      <c r="J35" s="39">
        <f>_xlfn.T.INV.2T(0.05,I35)</f>
        <v>1.9813718148763031</v>
      </c>
      <c r="K35" s="39">
        <f>H35*J35</f>
        <v>23.584775660553717</v>
      </c>
    </row>
    <row r="36" spans="2:12" ht="12.75" x14ac:dyDescent="0.2">
      <c r="B36" s="16">
        <v>100</v>
      </c>
      <c r="C36" s="16" t="s">
        <v>28</v>
      </c>
      <c r="D36" s="16"/>
      <c r="E36" s="16" t="s">
        <v>27</v>
      </c>
      <c r="F36" s="18">
        <f>D36/2</f>
        <v>0</v>
      </c>
      <c r="G36" s="16">
        <v>1</v>
      </c>
      <c r="H36" s="40"/>
      <c r="I36" s="40"/>
      <c r="J36" s="40"/>
      <c r="K36" s="40"/>
    </row>
    <row r="37" spans="2:12" ht="12.75" x14ac:dyDescent="0.2">
      <c r="B37" s="16">
        <v>2</v>
      </c>
      <c r="C37" s="16" t="s">
        <v>29</v>
      </c>
      <c r="D37" s="16">
        <f>G23</f>
        <v>0.29999999999999716</v>
      </c>
      <c r="E37" s="16" t="s">
        <v>30</v>
      </c>
      <c r="F37" s="18">
        <f>D37/SQRT(12)</f>
        <v>8.6602540378443046E-2</v>
      </c>
      <c r="G37" s="16">
        <v>1</v>
      </c>
      <c r="H37" s="40"/>
      <c r="I37" s="40"/>
      <c r="J37" s="40"/>
      <c r="K37" s="40"/>
    </row>
    <row r="38" spans="2:12" ht="12.75" x14ac:dyDescent="0.2">
      <c r="B38" s="16">
        <v>100</v>
      </c>
      <c r="C38" s="16" t="s">
        <v>31</v>
      </c>
      <c r="D38" s="16">
        <v>20</v>
      </c>
      <c r="E38" s="16" t="s">
        <v>30</v>
      </c>
      <c r="F38" s="18">
        <f t="shared" ref="F38:F39" si="6">D38/SQRT(3)</f>
        <v>11.547005383792516</v>
      </c>
      <c r="G38" s="16">
        <v>1</v>
      </c>
      <c r="H38" s="40"/>
      <c r="I38" s="40"/>
      <c r="J38" s="40"/>
      <c r="K38" s="40"/>
    </row>
    <row r="39" spans="2:12" ht="12.75" x14ac:dyDescent="0.2">
      <c r="B39" s="16">
        <v>100</v>
      </c>
      <c r="C39" s="19" t="s">
        <v>32</v>
      </c>
      <c r="D39" s="16">
        <v>5</v>
      </c>
      <c r="E39" s="16" t="s">
        <v>30</v>
      </c>
      <c r="F39" s="18">
        <f t="shared" si="6"/>
        <v>2.8867513459481291</v>
      </c>
      <c r="G39" s="16">
        <v>1</v>
      </c>
      <c r="H39" s="40"/>
      <c r="I39" s="40"/>
      <c r="J39" s="40"/>
      <c r="K39" s="40"/>
    </row>
    <row r="40" spans="2:12" ht="12.75" x14ac:dyDescent="0.2">
      <c r="H40" s="20"/>
      <c r="I40" s="21"/>
      <c r="J40" s="20"/>
      <c r="K40" s="20"/>
    </row>
    <row r="41" spans="2:12" ht="12.75" x14ac:dyDescent="0.2">
      <c r="C41" s="22"/>
      <c r="D41" s="22"/>
      <c r="E41" s="22"/>
      <c r="F41" s="22"/>
      <c r="G41" s="22"/>
      <c r="H41" s="22"/>
      <c r="I41" s="22"/>
      <c r="J41" s="22"/>
      <c r="K41" s="22"/>
      <c r="L41" s="22"/>
    </row>
    <row r="42" spans="2:12" ht="12.75" x14ac:dyDescent="0.2"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spans="2:12" ht="12.75" x14ac:dyDescent="0.2">
      <c r="C43" s="22"/>
      <c r="D43" s="22"/>
      <c r="E43" s="22"/>
      <c r="F43" s="22"/>
      <c r="G43" s="22"/>
      <c r="H43" s="22"/>
      <c r="I43" s="22"/>
      <c r="J43" s="22"/>
      <c r="K43" s="22"/>
      <c r="L43" s="22"/>
    </row>
    <row r="44" spans="2:12" ht="12.75" x14ac:dyDescent="0.2">
      <c r="C44" s="22"/>
      <c r="D44" s="22"/>
      <c r="E44" s="22"/>
      <c r="F44" s="22"/>
      <c r="G44" s="22"/>
      <c r="H44" s="22"/>
      <c r="I44" s="22"/>
      <c r="J44" s="22"/>
      <c r="K44" s="22"/>
      <c r="L44" s="22"/>
    </row>
    <row r="45" spans="2:12" ht="12.75" x14ac:dyDescent="0.2">
      <c r="C45" s="22"/>
      <c r="D45" s="22"/>
      <c r="E45" s="22"/>
      <c r="F45" s="22"/>
      <c r="G45" s="22"/>
      <c r="H45" s="22"/>
      <c r="I45" s="22"/>
      <c r="J45" s="22"/>
      <c r="K45" s="22"/>
      <c r="L45" s="22"/>
    </row>
    <row r="46" spans="2:12" ht="12.75" x14ac:dyDescent="0.2">
      <c r="C46" s="22"/>
      <c r="D46" s="22"/>
      <c r="E46" s="22"/>
      <c r="F46" s="22"/>
      <c r="G46" s="22"/>
      <c r="H46" s="22"/>
      <c r="I46" s="22"/>
      <c r="J46" s="22"/>
      <c r="K46" s="22"/>
      <c r="L46" s="22"/>
    </row>
    <row r="47" spans="2:12" ht="12.75" x14ac:dyDescent="0.2">
      <c r="C47" s="22"/>
      <c r="D47" s="22"/>
      <c r="E47" s="22"/>
      <c r="F47" s="22"/>
      <c r="G47" s="22"/>
      <c r="H47" s="22"/>
      <c r="I47" s="22"/>
      <c r="J47" s="22"/>
      <c r="K47" s="22"/>
      <c r="L47" s="22"/>
    </row>
    <row r="48" spans="2:12" ht="12.75" x14ac:dyDescent="0.2">
      <c r="B48" s="22"/>
      <c r="C48" s="22"/>
      <c r="D48" s="22"/>
      <c r="E48" s="22"/>
      <c r="F48" s="22"/>
      <c r="G48" s="22"/>
      <c r="H48" s="22"/>
      <c r="I48" s="22"/>
      <c r="J48" s="22"/>
      <c r="K48" s="22"/>
    </row>
    <row r="49" spans="2:11" ht="12.75" x14ac:dyDescent="0.2">
      <c r="B49" s="22"/>
      <c r="C49" s="22"/>
      <c r="D49" s="22"/>
      <c r="E49" s="22"/>
      <c r="F49" s="22"/>
      <c r="G49" s="22"/>
      <c r="H49" s="22"/>
      <c r="I49" s="22"/>
      <c r="J49" s="22"/>
      <c r="K49" s="22"/>
    </row>
    <row r="50" spans="2:11" ht="12.75" x14ac:dyDescent="0.2">
      <c r="B50" s="22"/>
      <c r="C50" s="22"/>
      <c r="D50" s="22"/>
      <c r="E50" s="22"/>
      <c r="F50" s="22"/>
      <c r="G50" s="22"/>
      <c r="H50" s="22"/>
      <c r="I50" s="22"/>
      <c r="J50" s="22"/>
      <c r="K50" s="22"/>
    </row>
    <row r="51" spans="2:11" ht="12.75" x14ac:dyDescent="0.2">
      <c r="B51" s="22"/>
      <c r="C51" s="22"/>
      <c r="D51" s="22"/>
      <c r="E51" s="22"/>
      <c r="F51" s="22"/>
      <c r="G51" s="22"/>
      <c r="H51" s="22"/>
      <c r="I51" s="22"/>
      <c r="J51" s="22"/>
      <c r="K51" s="22"/>
    </row>
    <row r="52" spans="2:11" ht="12.75" x14ac:dyDescent="0.2">
      <c r="B52" s="22"/>
      <c r="C52" s="22"/>
      <c r="D52" s="22"/>
      <c r="E52" s="22"/>
      <c r="F52" s="22"/>
      <c r="G52" s="22"/>
      <c r="H52" s="22"/>
      <c r="I52" s="22"/>
      <c r="J52" s="22"/>
      <c r="K52" s="22"/>
    </row>
    <row r="53" spans="2:11" ht="12.75" x14ac:dyDescent="0.2">
      <c r="B53" s="22"/>
      <c r="C53" s="22"/>
      <c r="D53" s="22"/>
      <c r="E53" s="22"/>
      <c r="F53" s="22"/>
      <c r="G53" s="22"/>
      <c r="H53" s="22"/>
      <c r="I53" s="22"/>
      <c r="J53" s="22"/>
      <c r="K53" s="22"/>
    </row>
    <row r="54" spans="2:11" ht="12.75" x14ac:dyDescent="0.2">
      <c r="B54" s="22"/>
      <c r="C54" s="22"/>
      <c r="D54" s="22"/>
      <c r="E54" s="22"/>
      <c r="F54" s="22"/>
      <c r="G54" s="22"/>
      <c r="H54" s="22"/>
      <c r="I54" s="22"/>
      <c r="J54" s="22"/>
      <c r="K54" s="22"/>
    </row>
    <row r="57" spans="2:11" ht="12.75" x14ac:dyDescent="0.2">
      <c r="B57" s="22"/>
      <c r="C57" s="22"/>
      <c r="D57" s="22"/>
      <c r="E57" s="22"/>
      <c r="F57" s="22"/>
      <c r="G57" s="22"/>
      <c r="H57" s="22"/>
      <c r="I57" s="22"/>
      <c r="J57" s="22"/>
      <c r="K57" s="22"/>
    </row>
    <row r="58" spans="2:11" ht="12.75" x14ac:dyDescent="0.2">
      <c r="B58" s="22"/>
      <c r="C58" s="22"/>
      <c r="D58" s="22"/>
      <c r="E58" s="22"/>
      <c r="F58" s="22"/>
      <c r="G58" s="22"/>
      <c r="H58" s="22"/>
      <c r="I58" s="22"/>
      <c r="J58" s="22"/>
      <c r="K58" s="22"/>
    </row>
    <row r="59" spans="2:11" ht="12.75" x14ac:dyDescent="0.2">
      <c r="B59" s="22"/>
      <c r="C59" s="22"/>
      <c r="D59" s="22"/>
      <c r="E59" s="22"/>
      <c r="F59" s="22"/>
      <c r="G59" s="22"/>
      <c r="H59" s="22"/>
      <c r="I59" s="22"/>
      <c r="J59" s="22"/>
      <c r="K59" s="22"/>
    </row>
    <row r="60" spans="2:11" ht="12.75" x14ac:dyDescent="0.2">
      <c r="B60" s="22"/>
      <c r="C60" s="22"/>
      <c r="D60" s="22"/>
      <c r="E60" s="22"/>
      <c r="F60" s="22"/>
      <c r="G60" s="22"/>
      <c r="H60" s="22"/>
      <c r="I60" s="22"/>
      <c r="J60" s="22"/>
      <c r="K60" s="22"/>
    </row>
    <row r="61" spans="2:11" ht="12.75" x14ac:dyDescent="0.2">
      <c r="B61" s="22"/>
      <c r="C61" s="22"/>
      <c r="D61" s="22"/>
      <c r="E61" s="22"/>
      <c r="F61" s="22"/>
      <c r="G61" s="22"/>
      <c r="H61" s="22"/>
      <c r="I61" s="22"/>
      <c r="J61" s="22"/>
      <c r="K61" s="22"/>
    </row>
    <row r="62" spans="2:11" ht="12.75" x14ac:dyDescent="0.2">
      <c r="B62" s="22"/>
      <c r="C62" s="22"/>
      <c r="D62" s="22"/>
      <c r="E62" s="22"/>
      <c r="F62" s="22"/>
      <c r="G62" s="22"/>
      <c r="H62" s="22"/>
      <c r="I62" s="22"/>
      <c r="J62" s="22"/>
      <c r="K62" s="22"/>
    </row>
    <row r="63" spans="2:11" ht="12.75" x14ac:dyDescent="0.2">
      <c r="B63" s="22"/>
      <c r="C63" s="22"/>
      <c r="D63" s="22"/>
      <c r="E63" s="22"/>
      <c r="F63" s="22"/>
      <c r="G63" s="22"/>
      <c r="H63" s="22"/>
      <c r="I63" s="22"/>
      <c r="J63" s="22"/>
      <c r="K63" s="22"/>
    </row>
    <row r="64" spans="2:11" ht="12.75" x14ac:dyDescent="0.2">
      <c r="B64" s="22"/>
      <c r="C64" s="22"/>
      <c r="D64" s="22"/>
      <c r="E64" s="22"/>
      <c r="F64" s="22"/>
      <c r="G64" s="22"/>
      <c r="H64" s="22"/>
      <c r="I64" s="22"/>
      <c r="J64" s="22"/>
      <c r="K64" s="22"/>
    </row>
    <row r="65" spans="2:11" ht="12.75" x14ac:dyDescent="0.2">
      <c r="B65" s="22"/>
      <c r="C65" s="22"/>
      <c r="D65" s="22"/>
      <c r="E65" s="22"/>
      <c r="F65" s="22"/>
      <c r="G65" s="22"/>
      <c r="H65" s="22"/>
      <c r="I65" s="22"/>
      <c r="J65" s="22"/>
      <c r="K65" s="22"/>
    </row>
    <row r="66" spans="2:11" ht="12.75" x14ac:dyDescent="0.2">
      <c r="B66" s="22"/>
      <c r="C66" s="22"/>
      <c r="D66" s="22"/>
      <c r="E66" s="22"/>
      <c r="F66" s="22"/>
      <c r="G66" s="22"/>
      <c r="H66" s="22"/>
      <c r="I66" s="22"/>
      <c r="J66" s="22"/>
      <c r="K66" s="22"/>
    </row>
    <row r="67" spans="2:11" ht="12.75" x14ac:dyDescent="0.2">
      <c r="B67" s="22"/>
      <c r="C67" s="22"/>
      <c r="D67" s="22"/>
      <c r="E67" s="22"/>
      <c r="F67" s="22"/>
      <c r="G67" s="22"/>
      <c r="H67" s="22"/>
      <c r="I67" s="22"/>
      <c r="J67" s="22"/>
      <c r="K67" s="22"/>
    </row>
    <row r="68" spans="2:11" ht="12.75" x14ac:dyDescent="0.2">
      <c r="B68" s="22"/>
      <c r="C68" s="22"/>
      <c r="D68" s="22"/>
      <c r="E68" s="22"/>
      <c r="F68" s="22"/>
      <c r="G68" s="22"/>
      <c r="H68" s="22"/>
      <c r="I68" s="22"/>
      <c r="J68" s="22"/>
      <c r="K68" s="22"/>
    </row>
    <row r="69" spans="2:11" ht="12.75" x14ac:dyDescent="0.2">
      <c r="B69" s="22"/>
      <c r="C69" s="22"/>
      <c r="D69" s="22"/>
      <c r="E69" s="22"/>
      <c r="F69" s="22"/>
      <c r="G69" s="22"/>
      <c r="H69" s="22"/>
      <c r="I69" s="22"/>
      <c r="J69" s="22"/>
      <c r="K69" s="22"/>
    </row>
    <row r="70" spans="2:11" ht="12.75" x14ac:dyDescent="0.2">
      <c r="B70" s="22"/>
      <c r="C70" s="22"/>
      <c r="D70" s="22"/>
      <c r="E70" s="22"/>
      <c r="F70" s="22"/>
      <c r="G70" s="22"/>
      <c r="H70" s="22"/>
      <c r="I70" s="22"/>
      <c r="J70" s="22"/>
      <c r="K70" s="22"/>
    </row>
    <row r="71" spans="2:11" ht="12.75" x14ac:dyDescent="0.2">
      <c r="B71" s="22"/>
      <c r="C71" s="22"/>
      <c r="D71" s="22"/>
      <c r="E71" s="22"/>
      <c r="F71" s="22"/>
      <c r="G71" s="22"/>
      <c r="H71" s="22"/>
      <c r="I71" s="22"/>
      <c r="J71" s="22"/>
      <c r="K71" s="22"/>
    </row>
    <row r="72" spans="2:11" ht="12.75" x14ac:dyDescent="0.2">
      <c r="B72" s="22"/>
      <c r="C72" s="22"/>
      <c r="D72" s="22"/>
      <c r="E72" s="22"/>
      <c r="F72" s="22"/>
      <c r="G72" s="22"/>
      <c r="H72" s="22"/>
      <c r="I72" s="22"/>
      <c r="J72" s="22"/>
      <c r="K72" s="22"/>
    </row>
    <row r="73" spans="2:11" ht="12.75" x14ac:dyDescent="0.2">
      <c r="B73" s="22"/>
      <c r="C73" s="22"/>
      <c r="D73" s="22"/>
      <c r="E73" s="22"/>
      <c r="F73" s="22"/>
      <c r="G73" s="22"/>
      <c r="H73" s="22"/>
      <c r="I73" s="22"/>
      <c r="J73" s="22"/>
      <c r="K73" s="22"/>
    </row>
    <row r="74" spans="2:11" ht="12.75" x14ac:dyDescent="0.2">
      <c r="B74" s="22"/>
      <c r="C74" s="22"/>
      <c r="D74" s="22"/>
      <c r="E74" s="22"/>
      <c r="F74" s="22"/>
      <c r="G74" s="22"/>
      <c r="H74" s="22"/>
      <c r="I74" s="22"/>
      <c r="J74" s="22"/>
      <c r="K74" s="22"/>
    </row>
    <row r="75" spans="2:11" ht="12.75" x14ac:dyDescent="0.2">
      <c r="B75" s="22"/>
      <c r="C75" s="22"/>
      <c r="D75" s="22"/>
      <c r="E75" s="22"/>
      <c r="F75" s="22"/>
      <c r="G75" s="22"/>
      <c r="H75" s="22"/>
      <c r="I75" s="22"/>
      <c r="J75" s="22"/>
      <c r="K75" s="22"/>
    </row>
    <row r="76" spans="2:11" ht="12.75" x14ac:dyDescent="0.2">
      <c r="B76" s="22"/>
      <c r="C76" s="22"/>
      <c r="D76" s="22"/>
      <c r="E76" s="22"/>
      <c r="F76" s="22"/>
      <c r="G76" s="22"/>
      <c r="H76" s="22"/>
      <c r="I76" s="22"/>
      <c r="J76" s="22"/>
      <c r="K76" s="22"/>
    </row>
    <row r="77" spans="2:11" ht="12.75" x14ac:dyDescent="0.2">
      <c r="B77" s="22"/>
      <c r="C77" s="22"/>
      <c r="D77" s="22"/>
      <c r="E77" s="22"/>
      <c r="F77" s="22"/>
      <c r="G77" s="22"/>
      <c r="H77" s="22"/>
      <c r="I77" s="22"/>
      <c r="J77" s="22"/>
      <c r="K77" s="22"/>
    </row>
    <row r="78" spans="2:11" ht="12.75" x14ac:dyDescent="0.2">
      <c r="B78" s="22"/>
      <c r="C78" s="22"/>
      <c r="D78" s="22"/>
      <c r="E78" s="22"/>
      <c r="F78" s="22"/>
      <c r="G78" s="22"/>
      <c r="H78" s="22"/>
      <c r="I78" s="22"/>
      <c r="J78" s="22"/>
      <c r="K78" s="22"/>
    </row>
    <row r="79" spans="2:11" ht="12.75" x14ac:dyDescent="0.2">
      <c r="B79" s="22"/>
      <c r="C79" s="22"/>
      <c r="D79" s="22"/>
      <c r="E79" s="22"/>
      <c r="F79" s="22"/>
      <c r="G79" s="22"/>
      <c r="H79" s="22"/>
      <c r="I79" s="22"/>
      <c r="J79" s="22"/>
      <c r="K79" s="22"/>
    </row>
    <row r="80" spans="2:11" ht="12.75" x14ac:dyDescent="0.2">
      <c r="B80" s="22"/>
      <c r="C80" s="22"/>
      <c r="D80" s="22"/>
      <c r="E80" s="22"/>
      <c r="F80" s="22"/>
      <c r="G80" s="22"/>
      <c r="H80" s="22"/>
      <c r="I80" s="22"/>
      <c r="J80" s="22"/>
      <c r="K80" s="22"/>
    </row>
    <row r="81" spans="2:11" ht="12.75" x14ac:dyDescent="0.2">
      <c r="B81" s="22"/>
      <c r="C81" s="22"/>
      <c r="D81" s="22"/>
      <c r="E81" s="22"/>
      <c r="F81" s="22"/>
      <c r="G81" s="22"/>
      <c r="H81" s="22"/>
      <c r="I81" s="22"/>
      <c r="J81" s="22"/>
      <c r="K81" s="22"/>
    </row>
    <row r="82" spans="2:11" ht="12.75" x14ac:dyDescent="0.2">
      <c r="B82" s="22"/>
      <c r="C82" s="22"/>
      <c r="D82" s="22"/>
      <c r="E82" s="22"/>
      <c r="F82" s="22"/>
      <c r="G82" s="22"/>
      <c r="H82" s="22"/>
      <c r="I82" s="22"/>
      <c r="J82" s="22"/>
      <c r="K82" s="22"/>
    </row>
    <row r="83" spans="2:11" ht="12.75" x14ac:dyDescent="0.2">
      <c r="B83" s="22"/>
      <c r="C83" s="22"/>
      <c r="D83" s="22"/>
      <c r="E83" s="22"/>
      <c r="F83" s="22"/>
      <c r="G83" s="22"/>
      <c r="H83" s="22"/>
      <c r="I83" s="22"/>
      <c r="J83" s="22"/>
      <c r="K83" s="22"/>
    </row>
    <row r="84" spans="2:11" ht="12.75" x14ac:dyDescent="0.2">
      <c r="B84" s="22"/>
      <c r="C84" s="22"/>
      <c r="D84" s="22"/>
      <c r="E84" s="22"/>
      <c r="F84" s="22"/>
      <c r="G84" s="22"/>
      <c r="H84" s="22"/>
      <c r="I84" s="22"/>
      <c r="J84" s="22"/>
      <c r="K84" s="22"/>
    </row>
    <row r="85" spans="2:11" ht="12.75" x14ac:dyDescent="0.2">
      <c r="B85" s="22"/>
      <c r="C85" s="22"/>
      <c r="D85" s="22"/>
      <c r="E85" s="22"/>
      <c r="F85" s="22"/>
      <c r="G85" s="22"/>
      <c r="H85" s="22"/>
      <c r="I85" s="22"/>
      <c r="J85" s="22"/>
      <c r="K85" s="22"/>
    </row>
    <row r="86" spans="2:11" ht="12.75" x14ac:dyDescent="0.2">
      <c r="B86" s="22"/>
      <c r="C86" s="22"/>
      <c r="D86" s="22"/>
      <c r="E86" s="22"/>
      <c r="F86" s="22"/>
      <c r="G86" s="22"/>
      <c r="H86" s="22"/>
      <c r="I86" s="22"/>
      <c r="J86" s="22"/>
      <c r="K86" s="22"/>
    </row>
    <row r="87" spans="2:11" ht="12.75" x14ac:dyDescent="0.2">
      <c r="B87" s="22"/>
      <c r="C87" s="22"/>
      <c r="D87" s="22"/>
      <c r="E87" s="22"/>
      <c r="F87" s="22"/>
      <c r="G87" s="22"/>
      <c r="H87" s="22"/>
      <c r="I87" s="22"/>
      <c r="J87" s="22"/>
      <c r="K87" s="22"/>
    </row>
    <row r="88" spans="2:11" ht="12.75" x14ac:dyDescent="0.2">
      <c r="B88" s="22"/>
      <c r="C88" s="22"/>
      <c r="D88" s="22"/>
      <c r="E88" s="22"/>
      <c r="F88" s="22"/>
      <c r="G88" s="22"/>
      <c r="H88" s="22"/>
      <c r="I88" s="22"/>
      <c r="J88" s="22"/>
      <c r="K88" s="22"/>
    </row>
    <row r="89" spans="2:11" ht="12.75" x14ac:dyDescent="0.2">
      <c r="B89" s="22"/>
      <c r="C89" s="22"/>
      <c r="D89" s="22"/>
      <c r="E89" s="22"/>
      <c r="F89" s="22"/>
      <c r="G89" s="22"/>
      <c r="H89" s="22"/>
      <c r="I89" s="22"/>
      <c r="J89" s="22"/>
      <c r="K89" s="22"/>
    </row>
    <row r="90" spans="2:11" ht="12.75" x14ac:dyDescent="0.2">
      <c r="B90" s="22"/>
      <c r="C90" s="22"/>
      <c r="D90" s="22"/>
      <c r="E90" s="22"/>
      <c r="F90" s="22"/>
      <c r="G90" s="22"/>
      <c r="H90" s="22"/>
      <c r="I90" s="22"/>
      <c r="J90" s="22"/>
      <c r="K90" s="22"/>
    </row>
    <row r="91" spans="2:11" ht="12.75" x14ac:dyDescent="0.2">
      <c r="B91" s="22"/>
      <c r="C91" s="22"/>
      <c r="D91" s="22"/>
      <c r="E91" s="22"/>
      <c r="F91" s="22"/>
      <c r="G91" s="22"/>
      <c r="H91" s="22"/>
      <c r="I91" s="22"/>
      <c r="J91" s="22"/>
      <c r="K91" s="22"/>
    </row>
    <row r="92" spans="2:11" ht="12.75" x14ac:dyDescent="0.2">
      <c r="B92" s="22"/>
      <c r="C92" s="22"/>
      <c r="D92" s="22"/>
      <c r="E92" s="22"/>
      <c r="F92" s="22"/>
      <c r="G92" s="22"/>
      <c r="H92" s="22"/>
      <c r="I92" s="22"/>
      <c r="J92" s="22"/>
      <c r="K92" s="22"/>
    </row>
    <row r="93" spans="2:11" ht="12.75" x14ac:dyDescent="0.2">
      <c r="B93" s="22"/>
      <c r="C93" s="22"/>
      <c r="D93" s="22"/>
      <c r="E93" s="22"/>
      <c r="F93" s="22"/>
      <c r="G93" s="22"/>
      <c r="H93" s="22"/>
      <c r="I93" s="22"/>
      <c r="J93" s="22"/>
      <c r="K93" s="22"/>
    </row>
    <row r="94" spans="2:11" ht="12.75" x14ac:dyDescent="0.2">
      <c r="B94" s="22"/>
      <c r="C94" s="22"/>
      <c r="D94" s="22"/>
      <c r="E94" s="22"/>
      <c r="F94" s="22"/>
      <c r="G94" s="22"/>
      <c r="H94" s="22"/>
      <c r="I94" s="22"/>
      <c r="J94" s="22"/>
      <c r="K94" s="22"/>
    </row>
    <row r="95" spans="2:11" ht="12.75" x14ac:dyDescent="0.2">
      <c r="B95" s="22"/>
      <c r="C95" s="22"/>
      <c r="D95" s="22"/>
      <c r="E95" s="22"/>
      <c r="F95" s="22"/>
      <c r="G95" s="22"/>
      <c r="H95" s="22"/>
      <c r="I95" s="22"/>
      <c r="J95" s="22"/>
      <c r="K95" s="22"/>
    </row>
    <row r="96" spans="2:11" ht="12.75" x14ac:dyDescent="0.2">
      <c r="B96" s="22"/>
      <c r="C96" s="22"/>
      <c r="D96" s="22"/>
      <c r="E96" s="22"/>
      <c r="F96" s="22"/>
      <c r="G96" s="22"/>
      <c r="H96" s="22"/>
      <c r="I96" s="22"/>
      <c r="J96" s="22"/>
      <c r="K96" s="22"/>
    </row>
    <row r="97" spans="2:11" ht="12.75" x14ac:dyDescent="0.2">
      <c r="B97" s="22"/>
      <c r="C97" s="22"/>
      <c r="D97" s="22"/>
      <c r="E97" s="22"/>
      <c r="F97" s="22"/>
      <c r="G97" s="22"/>
      <c r="H97" s="22"/>
      <c r="I97" s="22"/>
      <c r="J97" s="22"/>
      <c r="K97" s="22"/>
    </row>
    <row r="98" spans="2:11" ht="12.75" x14ac:dyDescent="0.2">
      <c r="B98" s="22"/>
      <c r="C98" s="22"/>
      <c r="D98" s="22"/>
      <c r="E98" s="22"/>
      <c r="F98" s="22"/>
      <c r="G98" s="22"/>
      <c r="H98" s="22"/>
      <c r="I98" s="22"/>
      <c r="J98" s="22"/>
      <c r="K98" s="22"/>
    </row>
    <row r="99" spans="2:11" ht="12.75" x14ac:dyDescent="0.2">
      <c r="B99" s="22"/>
      <c r="C99" s="22"/>
      <c r="D99" s="22"/>
      <c r="E99" s="22"/>
      <c r="F99" s="22"/>
      <c r="G99" s="22"/>
      <c r="H99" s="22"/>
      <c r="I99" s="22"/>
      <c r="J99" s="22"/>
      <c r="K99" s="22"/>
    </row>
    <row r="100" spans="2:11" ht="12.75" x14ac:dyDescent="0.2">
      <c r="B100" s="22"/>
      <c r="C100" s="22"/>
      <c r="D100" s="22"/>
      <c r="E100" s="22"/>
      <c r="F100" s="22"/>
      <c r="G100" s="22"/>
      <c r="H100" s="22"/>
      <c r="I100" s="22"/>
      <c r="J100" s="22"/>
      <c r="K100" s="22"/>
    </row>
    <row r="101" spans="2:11" ht="12.75" x14ac:dyDescent="0.2">
      <c r="B101" s="22"/>
      <c r="C101" s="22"/>
      <c r="D101" s="22"/>
      <c r="E101" s="22"/>
      <c r="F101" s="22"/>
      <c r="G101" s="22"/>
      <c r="H101" s="22"/>
      <c r="I101" s="22"/>
      <c r="J101" s="22"/>
      <c r="K101" s="22"/>
    </row>
    <row r="102" spans="2:11" ht="12.75" x14ac:dyDescent="0.2">
      <c r="B102" s="22"/>
      <c r="C102" s="22"/>
      <c r="D102" s="22"/>
      <c r="E102" s="22"/>
      <c r="F102" s="22"/>
      <c r="G102" s="22"/>
      <c r="H102" s="22"/>
      <c r="I102" s="22"/>
      <c r="J102" s="22"/>
      <c r="K102" s="22"/>
    </row>
    <row r="103" spans="2:11" ht="12.75" x14ac:dyDescent="0.2">
      <c r="B103" s="22"/>
      <c r="C103" s="22"/>
      <c r="D103" s="22"/>
      <c r="E103" s="22"/>
      <c r="F103" s="22"/>
      <c r="G103" s="22"/>
      <c r="H103" s="22"/>
      <c r="I103" s="22"/>
      <c r="J103" s="22"/>
      <c r="K103" s="22"/>
    </row>
    <row r="104" spans="2:11" ht="12.75" x14ac:dyDescent="0.2">
      <c r="B104" s="22"/>
      <c r="C104" s="22"/>
      <c r="D104" s="22"/>
      <c r="E104" s="22"/>
      <c r="F104" s="22"/>
      <c r="G104" s="22"/>
      <c r="H104" s="22"/>
      <c r="I104" s="22"/>
      <c r="J104" s="22"/>
      <c r="K104" s="22"/>
    </row>
    <row r="105" spans="2:11" ht="12.75" x14ac:dyDescent="0.2">
      <c r="B105" s="22"/>
      <c r="C105" s="22"/>
      <c r="D105" s="22"/>
      <c r="E105" s="22"/>
      <c r="F105" s="22"/>
      <c r="G105" s="22"/>
      <c r="H105" s="22"/>
      <c r="I105" s="22"/>
      <c r="J105" s="22"/>
      <c r="K105" s="22"/>
    </row>
    <row r="106" spans="2:11" ht="12.75" x14ac:dyDescent="0.2">
      <c r="B106" s="22"/>
      <c r="C106" s="22"/>
      <c r="D106" s="22"/>
      <c r="E106" s="22"/>
      <c r="F106" s="22"/>
      <c r="G106" s="22"/>
      <c r="H106" s="22"/>
      <c r="I106" s="22"/>
      <c r="J106" s="22"/>
      <c r="K106" s="22"/>
    </row>
    <row r="107" spans="2:11" ht="12.75" x14ac:dyDescent="0.2">
      <c r="B107" s="22"/>
      <c r="C107" s="22"/>
      <c r="D107" s="22"/>
      <c r="E107" s="22"/>
      <c r="F107" s="22"/>
      <c r="G107" s="22"/>
      <c r="H107" s="22"/>
      <c r="I107" s="22"/>
      <c r="J107" s="22"/>
      <c r="K107" s="22"/>
    </row>
    <row r="108" spans="2:11" ht="12.75" x14ac:dyDescent="0.2">
      <c r="B108" s="22"/>
      <c r="C108" s="22"/>
      <c r="D108" s="22"/>
      <c r="E108" s="22"/>
      <c r="F108" s="22"/>
      <c r="G108" s="22"/>
      <c r="H108" s="22"/>
      <c r="I108" s="22"/>
      <c r="J108" s="22"/>
      <c r="K108" s="22"/>
    </row>
    <row r="109" spans="2:11" ht="12.75" x14ac:dyDescent="0.2">
      <c r="B109" s="22"/>
      <c r="C109" s="22"/>
      <c r="D109" s="22"/>
      <c r="E109" s="22"/>
      <c r="F109" s="22"/>
      <c r="G109" s="22"/>
      <c r="H109" s="22"/>
      <c r="I109" s="22"/>
      <c r="J109" s="22"/>
      <c r="K109" s="22"/>
    </row>
    <row r="110" spans="2:11" ht="12.75" x14ac:dyDescent="0.2">
      <c r="B110" s="22"/>
      <c r="C110" s="22"/>
      <c r="D110" s="22"/>
      <c r="E110" s="22"/>
      <c r="F110" s="22"/>
      <c r="G110" s="22"/>
      <c r="H110" s="22"/>
      <c r="I110" s="22"/>
      <c r="J110" s="22"/>
      <c r="K110" s="22"/>
    </row>
    <row r="111" spans="2:11" ht="12.75" x14ac:dyDescent="0.2">
      <c r="B111" s="22"/>
      <c r="C111" s="22"/>
      <c r="D111" s="22"/>
      <c r="E111" s="22"/>
      <c r="F111" s="22"/>
      <c r="G111" s="22"/>
      <c r="H111" s="22"/>
      <c r="I111" s="22"/>
      <c r="J111" s="22"/>
      <c r="K111" s="22"/>
    </row>
    <row r="112" spans="2:11" ht="12.75" x14ac:dyDescent="0.2">
      <c r="B112" s="22"/>
      <c r="C112" s="22"/>
      <c r="D112" s="22"/>
      <c r="E112" s="22"/>
      <c r="F112" s="22"/>
      <c r="G112" s="22"/>
      <c r="H112" s="22"/>
      <c r="I112" s="22"/>
      <c r="J112" s="22"/>
      <c r="K112" s="22"/>
    </row>
    <row r="113" spans="2:11" ht="12.75" x14ac:dyDescent="0.2">
      <c r="B113" s="22"/>
      <c r="C113" s="22"/>
      <c r="D113" s="22"/>
      <c r="E113" s="22"/>
      <c r="F113" s="22"/>
      <c r="G113" s="22"/>
      <c r="H113" s="22"/>
      <c r="I113" s="22"/>
      <c r="J113" s="22"/>
      <c r="K113" s="22"/>
    </row>
    <row r="114" spans="2:11" ht="12.75" x14ac:dyDescent="0.2">
      <c r="B114" s="22"/>
      <c r="C114" s="22"/>
      <c r="D114" s="22"/>
      <c r="E114" s="22"/>
      <c r="F114" s="22"/>
      <c r="G114" s="22"/>
      <c r="H114" s="22"/>
      <c r="I114" s="22"/>
      <c r="J114" s="22"/>
      <c r="K114" s="22"/>
    </row>
    <row r="115" spans="2:11" ht="12.75" x14ac:dyDescent="0.2">
      <c r="B115" s="22"/>
      <c r="C115" s="22"/>
      <c r="D115" s="22"/>
      <c r="E115" s="22"/>
      <c r="F115" s="22"/>
      <c r="G115" s="22"/>
      <c r="H115" s="22"/>
      <c r="I115" s="22"/>
      <c r="J115" s="22"/>
      <c r="K115" s="22"/>
    </row>
    <row r="116" spans="2:11" ht="12.75" x14ac:dyDescent="0.2">
      <c r="B116" s="22"/>
      <c r="C116" s="22"/>
      <c r="D116" s="22"/>
      <c r="E116" s="22"/>
      <c r="F116" s="22"/>
      <c r="G116" s="22"/>
      <c r="H116" s="22"/>
      <c r="I116" s="22"/>
      <c r="J116" s="22"/>
      <c r="K116" s="22"/>
    </row>
    <row r="117" spans="2:11" ht="12.75" x14ac:dyDescent="0.2">
      <c r="B117" s="22"/>
      <c r="C117" s="22"/>
      <c r="D117" s="22"/>
      <c r="E117" s="22"/>
      <c r="F117" s="22"/>
      <c r="G117" s="22"/>
      <c r="H117" s="22"/>
      <c r="I117" s="22"/>
      <c r="J117" s="22"/>
      <c r="K117" s="22"/>
    </row>
    <row r="118" spans="2:11" ht="12.75" x14ac:dyDescent="0.2">
      <c r="B118" s="22"/>
      <c r="C118" s="22"/>
      <c r="D118" s="22"/>
      <c r="E118" s="22"/>
      <c r="F118" s="22"/>
      <c r="G118" s="22"/>
      <c r="H118" s="22"/>
      <c r="I118" s="22"/>
      <c r="J118" s="22"/>
      <c r="K118" s="22"/>
    </row>
    <row r="119" spans="2:11" ht="12.75" x14ac:dyDescent="0.2">
      <c r="B119" s="22"/>
      <c r="C119" s="22"/>
      <c r="D119" s="22"/>
      <c r="E119" s="22"/>
      <c r="F119" s="22"/>
      <c r="G119" s="22"/>
      <c r="H119" s="22"/>
      <c r="I119" s="22"/>
      <c r="J119" s="22"/>
      <c r="K119" s="22"/>
    </row>
    <row r="120" spans="2:11" ht="12.75" x14ac:dyDescent="0.2">
      <c r="B120" s="22"/>
      <c r="C120" s="22"/>
      <c r="D120" s="22"/>
      <c r="E120" s="22"/>
      <c r="F120" s="22"/>
      <c r="G120" s="22"/>
      <c r="H120" s="22"/>
      <c r="I120" s="22"/>
      <c r="J120" s="22"/>
      <c r="K120" s="22"/>
    </row>
    <row r="121" spans="2:11" ht="12.75" x14ac:dyDescent="0.2">
      <c r="B121" s="22"/>
      <c r="C121" s="22"/>
      <c r="D121" s="22"/>
      <c r="E121" s="22"/>
      <c r="F121" s="22"/>
      <c r="G121" s="22"/>
      <c r="H121" s="22"/>
      <c r="I121" s="22"/>
      <c r="J121" s="22"/>
      <c r="K121" s="22"/>
    </row>
    <row r="122" spans="2:11" ht="12.75" x14ac:dyDescent="0.2">
      <c r="B122" s="22"/>
      <c r="C122" s="22"/>
      <c r="D122" s="22"/>
      <c r="E122" s="22"/>
      <c r="F122" s="22"/>
      <c r="G122" s="22"/>
      <c r="H122" s="22"/>
      <c r="I122" s="22"/>
      <c r="J122" s="22"/>
      <c r="K122" s="22"/>
    </row>
    <row r="123" spans="2:11" ht="12.75" x14ac:dyDescent="0.2">
      <c r="B123" s="22"/>
      <c r="C123" s="22"/>
      <c r="D123" s="22"/>
      <c r="E123" s="22"/>
      <c r="F123" s="22"/>
      <c r="G123" s="22"/>
      <c r="H123" s="22"/>
      <c r="I123" s="22"/>
      <c r="J123" s="22"/>
      <c r="K123" s="22"/>
    </row>
    <row r="124" spans="2:11" ht="12.75" x14ac:dyDescent="0.2">
      <c r="B124" s="22"/>
      <c r="C124" s="22"/>
      <c r="D124" s="22"/>
      <c r="E124" s="22"/>
      <c r="F124" s="22"/>
      <c r="G124" s="22"/>
      <c r="H124" s="22"/>
      <c r="I124" s="22"/>
      <c r="J124" s="22"/>
      <c r="K124" s="22"/>
    </row>
    <row r="125" spans="2:11" ht="12.75" x14ac:dyDescent="0.2">
      <c r="B125" s="22"/>
      <c r="C125" s="22"/>
      <c r="D125" s="22"/>
      <c r="E125" s="22"/>
      <c r="F125" s="22"/>
      <c r="G125" s="22"/>
      <c r="H125" s="22"/>
      <c r="I125" s="22"/>
      <c r="J125" s="22"/>
      <c r="K125" s="22"/>
    </row>
    <row r="126" spans="2:11" ht="12.75" x14ac:dyDescent="0.2">
      <c r="B126" s="22"/>
      <c r="C126" s="22"/>
      <c r="D126" s="22"/>
      <c r="E126" s="22"/>
      <c r="F126" s="22"/>
      <c r="G126" s="22"/>
      <c r="H126" s="22"/>
      <c r="I126" s="22"/>
      <c r="J126" s="22"/>
      <c r="K126" s="22"/>
    </row>
    <row r="127" spans="2:11" ht="12.75" x14ac:dyDescent="0.2">
      <c r="B127" s="22"/>
      <c r="C127" s="22"/>
      <c r="D127" s="22"/>
      <c r="E127" s="22"/>
      <c r="F127" s="22"/>
      <c r="G127" s="22"/>
      <c r="H127" s="22"/>
      <c r="I127" s="22"/>
      <c r="J127" s="22"/>
      <c r="K127" s="22"/>
    </row>
    <row r="128" spans="2:11" ht="12.75" x14ac:dyDescent="0.2">
      <c r="B128" s="22"/>
      <c r="C128" s="22"/>
      <c r="D128" s="22"/>
      <c r="E128" s="22"/>
      <c r="F128" s="22"/>
      <c r="G128" s="22"/>
      <c r="H128" s="22"/>
      <c r="I128" s="22"/>
      <c r="J128" s="22"/>
      <c r="K128" s="22"/>
    </row>
    <row r="129" spans="2:11" ht="12.75" x14ac:dyDescent="0.2">
      <c r="B129" s="22"/>
      <c r="C129" s="22"/>
      <c r="D129" s="22"/>
      <c r="E129" s="22"/>
      <c r="F129" s="22"/>
      <c r="G129" s="22"/>
      <c r="H129" s="22"/>
      <c r="I129" s="22"/>
      <c r="J129" s="22"/>
      <c r="K129" s="22"/>
    </row>
    <row r="130" spans="2:11" ht="12.75" x14ac:dyDescent="0.2">
      <c r="B130" s="22"/>
      <c r="C130" s="22"/>
      <c r="D130" s="22"/>
      <c r="E130" s="22"/>
      <c r="F130" s="22"/>
      <c r="G130" s="22"/>
      <c r="H130" s="22"/>
      <c r="I130" s="22"/>
      <c r="J130" s="22"/>
      <c r="K130" s="22"/>
    </row>
    <row r="131" spans="2:11" ht="12.75" x14ac:dyDescent="0.2">
      <c r="B131" s="22"/>
      <c r="C131" s="22"/>
      <c r="D131" s="22"/>
      <c r="E131" s="22"/>
      <c r="F131" s="22"/>
      <c r="G131" s="22"/>
      <c r="H131" s="22"/>
      <c r="I131" s="22"/>
      <c r="J131" s="22"/>
      <c r="K131" s="22"/>
    </row>
    <row r="132" spans="2:11" ht="12.75" x14ac:dyDescent="0.2">
      <c r="B132" s="22"/>
      <c r="C132" s="22"/>
      <c r="D132" s="22"/>
      <c r="E132" s="22"/>
      <c r="F132" s="22"/>
      <c r="G132" s="22"/>
      <c r="H132" s="22"/>
      <c r="I132" s="22"/>
      <c r="J132" s="22"/>
      <c r="K132" s="22"/>
    </row>
    <row r="133" spans="2:11" ht="12.75" x14ac:dyDescent="0.2">
      <c r="B133" s="22"/>
      <c r="C133" s="22"/>
      <c r="D133" s="22"/>
      <c r="E133" s="22"/>
      <c r="F133" s="22"/>
      <c r="G133" s="22"/>
      <c r="H133" s="22"/>
      <c r="I133" s="22"/>
      <c r="J133" s="22"/>
      <c r="K133" s="22"/>
    </row>
    <row r="134" spans="2:11" ht="12.75" x14ac:dyDescent="0.2">
      <c r="B134" s="22"/>
      <c r="C134" s="22"/>
      <c r="D134" s="22"/>
      <c r="E134" s="22"/>
      <c r="F134" s="22"/>
      <c r="G134" s="22"/>
      <c r="H134" s="22"/>
      <c r="I134" s="22"/>
      <c r="J134" s="22"/>
      <c r="K134" s="22"/>
    </row>
    <row r="135" spans="2:11" ht="12.75" x14ac:dyDescent="0.2">
      <c r="B135" s="22"/>
      <c r="C135" s="22"/>
      <c r="D135" s="22"/>
      <c r="E135" s="22"/>
      <c r="F135" s="22"/>
      <c r="G135" s="22"/>
      <c r="H135" s="22"/>
      <c r="I135" s="22"/>
      <c r="J135" s="22"/>
      <c r="K135" s="22"/>
    </row>
    <row r="136" spans="2:11" ht="12.75" x14ac:dyDescent="0.2">
      <c r="B136" s="22"/>
      <c r="C136" s="22"/>
      <c r="D136" s="22"/>
      <c r="E136" s="22"/>
      <c r="F136" s="22"/>
      <c r="G136" s="22"/>
      <c r="H136" s="22"/>
      <c r="I136" s="22"/>
      <c r="J136" s="22"/>
      <c r="K136" s="22"/>
    </row>
    <row r="137" spans="2:11" ht="12.75" x14ac:dyDescent="0.2">
      <c r="B137" s="22"/>
      <c r="C137" s="22"/>
      <c r="D137" s="22"/>
      <c r="E137" s="22"/>
      <c r="F137" s="22"/>
      <c r="G137" s="22"/>
      <c r="H137" s="22"/>
      <c r="I137" s="22"/>
      <c r="J137" s="22"/>
      <c r="K137" s="22"/>
    </row>
  </sheetData>
  <sortState xmlns:xlrd2="http://schemas.microsoft.com/office/spreadsheetml/2017/richdata2" ref="M8:M16">
    <sortCondition descending="1" ref="M8:M16"/>
  </sortState>
  <mergeCells count="12">
    <mergeCell ref="B33:K33"/>
    <mergeCell ref="I21:J21"/>
    <mergeCell ref="H35:H39"/>
    <mergeCell ref="I35:I39"/>
    <mergeCell ref="J35:J39"/>
    <mergeCell ref="K35:K39"/>
    <mergeCell ref="I2:P2"/>
    <mergeCell ref="I6:J6"/>
    <mergeCell ref="L6:M6"/>
    <mergeCell ref="O6:P6"/>
    <mergeCell ref="B21:G21"/>
    <mergeCell ref="M21:P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5D55E-22E7-4DD8-8400-13EB523B68F2}">
  <dimension ref="A1:M11"/>
  <sheetViews>
    <sheetView tabSelected="1" topLeftCell="B1" workbookViewId="0">
      <selection activeCell="R19" sqref="R19"/>
    </sheetView>
  </sheetViews>
  <sheetFormatPr baseColWidth="10" defaultRowHeight="12.75" x14ac:dyDescent="0.2"/>
  <cols>
    <col min="1" max="1" width="15" bestFit="1" customWidth="1"/>
  </cols>
  <sheetData>
    <row r="1" spans="1:13" x14ac:dyDescent="0.2">
      <c r="A1" s="42" t="s">
        <v>35</v>
      </c>
      <c r="B1" s="43"/>
    </row>
    <row r="2" spans="1:13" x14ac:dyDescent="0.2">
      <c r="A2" s="25" t="s">
        <v>34</v>
      </c>
      <c r="B2" s="25" t="s">
        <v>1</v>
      </c>
      <c r="L2" s="25" t="s">
        <v>1</v>
      </c>
      <c r="M2" s="25" t="s">
        <v>34</v>
      </c>
    </row>
    <row r="3" spans="1:13" x14ac:dyDescent="0.2">
      <c r="A3">
        <v>1516</v>
      </c>
      <c r="B3">
        <v>30</v>
      </c>
      <c r="L3">
        <v>30</v>
      </c>
      <c r="M3">
        <v>1516</v>
      </c>
    </row>
    <row r="4" spans="1:13" x14ac:dyDescent="0.2">
      <c r="A4">
        <v>1586</v>
      </c>
      <c r="B4">
        <v>33.1</v>
      </c>
      <c r="L4">
        <v>33.1</v>
      </c>
      <c r="M4">
        <v>1586</v>
      </c>
    </row>
    <row r="5" spans="1:13" x14ac:dyDescent="0.2">
      <c r="A5">
        <v>1690</v>
      </c>
      <c r="B5">
        <v>37.299999999999997</v>
      </c>
      <c r="L5">
        <v>37.299999999999997</v>
      </c>
      <c r="M5">
        <v>1690</v>
      </c>
    </row>
    <row r="6" spans="1:13" x14ac:dyDescent="0.2">
      <c r="A6">
        <v>1758</v>
      </c>
      <c r="B6">
        <v>40.1</v>
      </c>
      <c r="L6">
        <v>40.1</v>
      </c>
      <c r="M6">
        <v>1758</v>
      </c>
    </row>
    <row r="7" spans="1:13" x14ac:dyDescent="0.2">
      <c r="A7">
        <v>1831</v>
      </c>
      <c r="B7">
        <v>43.1</v>
      </c>
      <c r="L7">
        <v>43.1</v>
      </c>
      <c r="M7">
        <v>1831</v>
      </c>
    </row>
    <row r="8" spans="1:13" x14ac:dyDescent="0.2">
      <c r="A8">
        <v>1978</v>
      </c>
      <c r="B8">
        <v>47.4</v>
      </c>
      <c r="L8">
        <v>47.4</v>
      </c>
      <c r="M8">
        <v>1978</v>
      </c>
    </row>
    <row r="9" spans="1:13" x14ac:dyDescent="0.2">
      <c r="A9">
        <v>2055</v>
      </c>
      <c r="B9">
        <v>50.2</v>
      </c>
      <c r="L9">
        <v>50.2</v>
      </c>
      <c r="M9">
        <v>2055</v>
      </c>
    </row>
    <row r="10" spans="1:13" x14ac:dyDescent="0.2">
      <c r="A10">
        <v>2117</v>
      </c>
      <c r="B10">
        <v>53.3</v>
      </c>
      <c r="L10">
        <v>53.3</v>
      </c>
      <c r="M10">
        <v>2117</v>
      </c>
    </row>
    <row r="11" spans="1:13" x14ac:dyDescent="0.2">
      <c r="A11">
        <v>2241</v>
      </c>
      <c r="B11" s="25">
        <v>56.6</v>
      </c>
      <c r="L11" s="25">
        <v>56.6</v>
      </c>
      <c r="M11">
        <v>2241</v>
      </c>
    </row>
  </sheetData>
  <mergeCells count="1">
    <mergeCell ref="A1:B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Metrología</vt:lpstr>
      <vt:lpstr>Regresión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Edwin Leguizamon</cp:lastModifiedBy>
  <dcterms:modified xsi:type="dcterms:W3CDTF">2025-11-11T17:57:05Z</dcterms:modified>
</cp:coreProperties>
</file>